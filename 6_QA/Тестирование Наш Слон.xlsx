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УрФу-Нетология Магистратура\Проектный практикум 2 семестр\"/>
    </mc:Choice>
  </mc:AlternateContent>
  <xr:revisionPtr revIDLastSave="0" documentId="13_ncr:1_{72E0C70F-ECF5-484E-B22A-A5FA25CFBBCF}" xr6:coauthVersionLast="47" xr6:coauthVersionMax="47" xr10:uidLastSave="{00000000-0000-0000-0000-000000000000}"/>
  <bookViews>
    <workbookView xWindow="-103" yWindow="-103" windowWidth="33120" windowHeight="21429" activeTab="2" xr2:uid="{100470D7-4961-4BE2-8F1F-B36A2B568951}"/>
  </bookViews>
  <sheets>
    <sheet name="Авторизация и регистрация" sheetId="1" r:id="rId1"/>
    <sheet name="Чаты и сообщения" sheetId="2" r:id="rId2"/>
    <sheet name="Контакты и сообщества" sheetId="3" r:id="rId3"/>
    <sheet name="AI-ассистент и ML" sheetId="4" r:id="rId4"/>
    <sheet name="Админ-панель" sheetId="5" r:id="rId5"/>
    <sheet name="Интеграция frontend-backend" sheetId="6" r:id="rId6"/>
    <sheet name="UI UX и адаптивность" sheetId="7" r:id="rId7"/>
    <sheet name="Нефункциональные проверки"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 l="1"/>
  <c r="A6" i="3" s="1"/>
  <c r="A7" i="3" s="1"/>
  <c r="A8" i="3" s="1"/>
  <c r="A9" i="3" s="1"/>
  <c r="A34" i="1"/>
  <c r="A35" i="1"/>
  <c r="A36" i="1"/>
  <c r="A37" i="1"/>
  <c r="A24" i="1"/>
  <c r="A25" i="1"/>
  <c r="A26" i="1"/>
  <c r="A27" i="1"/>
  <c r="A28" i="1"/>
  <c r="A29" i="1"/>
  <c r="A30" i="1"/>
  <c r="A31" i="1"/>
  <c r="A32" i="1"/>
  <c r="A33" i="1"/>
  <c r="A5" i="2"/>
  <c r="A6" i="2" s="1"/>
  <c r="A7" i="2" s="1"/>
  <c r="A8" i="2" s="1"/>
  <c r="A9" i="2" s="1"/>
  <c r="A10" i="2" s="1"/>
  <c r="A11" i="2" s="1"/>
  <c r="A12" i="2" s="1"/>
  <c r="A13" i="2" s="1"/>
  <c r="A14" i="2" s="1"/>
  <c r="A15" i="2" s="1"/>
  <c r="A16" i="2" s="1"/>
  <c r="A17" i="2" s="1"/>
  <c r="A18" i="2" s="1"/>
  <c r="A19" i="2" s="1"/>
  <c r="A20" i="2" s="1"/>
  <c r="A21" i="2" s="1"/>
  <c r="A22" i="2" s="1"/>
  <c r="A23" i="2" s="1"/>
  <c r="A18" i="1"/>
  <c r="A19" i="1"/>
  <c r="A20" i="1"/>
  <c r="A21" i="1"/>
  <c r="A22" i="1"/>
  <c r="A23" i="1"/>
  <c r="A6" i="1"/>
  <c r="A7" i="1"/>
  <c r="A8" i="1"/>
  <c r="A9" i="1"/>
  <c r="A10" i="1" s="1"/>
  <c r="A11" i="1" s="1"/>
  <c r="A12" i="1" s="1"/>
  <c r="A13" i="1" s="1"/>
  <c r="A14" i="1" s="1"/>
  <c r="A15" i="1" s="1"/>
  <c r="A16" i="1" s="1"/>
  <c r="A17" i="1" s="1"/>
  <c r="A5" i="1"/>
</calcChain>
</file>

<file path=xl/sharedStrings.xml><?xml version="1.0" encoding="utf-8"?>
<sst xmlns="http://schemas.openxmlformats.org/spreadsheetml/2006/main" count="437" uniqueCount="197">
  <si>
    <t>Номер п/п</t>
  </si>
  <si>
    <t>Требование / проверяемое условие</t>
  </si>
  <si>
    <t xml:space="preserve">Что именно проверяем: </t>
  </si>
  <si>
    <t>“Пользователь может войти по корректному логину и паролю”.</t>
  </si>
  <si>
    <t>Предусловия</t>
  </si>
  <si>
    <t>Что должно быть подготовлено до проверки:</t>
  </si>
  <si>
    <t>“Backend запущен, пользователь создан, открыт экран входа”.</t>
  </si>
  <si>
    <t>Тестовые данные</t>
  </si>
  <si>
    <t>Логин, пароль, текст сообщения, название чата, email, роль пользователя.</t>
  </si>
  <si>
    <t>Экран / модуль</t>
  </si>
  <si>
    <t>Где проверяем:</t>
  </si>
  <si>
    <t>“Страница входа”, “Личные сообщения”, “Панель администратора”.</t>
  </si>
  <si>
    <t>Шаги проверки:</t>
  </si>
  <si>
    <t>Конкретные действия тестировщика:</t>
  </si>
  <si>
    <t>“Ввести логин user, ввести пароль, нажать Войти”.</t>
  </si>
  <si>
    <t>Ожидаемый результат</t>
  </si>
  <si>
    <t>Как система должна себя повести:</t>
  </si>
  <si>
    <t>“Пользователь переходит на главный экран, токен сохраняется, ошибок нет”.</t>
  </si>
  <si>
    <t>Фактический результат</t>
  </si>
  <si>
    <t>OK в случае успешного тестирования или NOK в случае ошибок или проблем</t>
  </si>
  <si>
    <t>Что реально произошло при проверке.</t>
  </si>
  <si>
    <t>Статус</t>
  </si>
  <si>
    <t>Рекомендуемые значения:</t>
  </si>
  <si>
    <t>Пройдено, Не пройдено, Заблокировано, Не проверялось, Требует уточнения.</t>
  </si>
  <si>
    <t>Критичность</t>
  </si>
  <si>
    <t>Критическая, Высокая, Средняя, Низкая.</t>
  </si>
  <si>
    <t>Переход на страницу регистрации.</t>
  </si>
  <si>
    <t>Регистрация с валидными логином и паролем.</t>
  </si>
  <si>
    <t>Регистрация с валидными логином и паролем (повторная с той же комбинацией)</t>
  </si>
  <si>
    <t>Регистрация с логином, не соответствующим требованиям.</t>
  </si>
  <si>
    <t>Регистрация с паролем, не соответствующим требованиям.</t>
  </si>
  <si>
    <t>Проверка валидации email (например, отсутствие символа @).</t>
  </si>
  <si>
    <t>Проверка валидации телефона.</t>
  </si>
  <si>
    <t>Повторный переход по активной ссылке регистрации.</t>
  </si>
  <si>
    <t>Переход по просроченной ссылке регистрации.</t>
  </si>
  <si>
    <t>Корнер кейсы</t>
  </si>
  <si>
    <t>Успешный вход с валидными логином и паролем.</t>
  </si>
  <si>
    <t>Ошибка при вводе неверного пароля.</t>
  </si>
  <si>
    <t>Ошибка при вводе несуществующего логина.</t>
  </si>
  <si>
    <t>Работа кнопки «Показать/Скрыть пароль».</t>
  </si>
  <si>
    <t>Восстановление доступа («Забыли пароль?»).</t>
  </si>
  <si>
    <t>Переход по просроченной ссылке восстановления пароля.</t>
  </si>
  <si>
    <t>Повторный переход по активной ссылке восстановления пароля.</t>
  </si>
  <si>
    <t>Пройдено</t>
  </si>
  <si>
    <t>Требует уточнения</t>
  </si>
  <si>
    <t>Средняя</t>
  </si>
  <si>
    <t>OK</t>
  </si>
  <si>
    <t>Запущен Google Chrome</t>
  </si>
  <si>
    <t>Страница входа</t>
  </si>
  <si>
    <t>Переход по ссылке "Нету аккаунта? Зарегистрироваться"</t>
  </si>
  <si>
    <t>Страница регистрации загрузилась</t>
  </si>
  <si>
    <t>Страница "Регистрация"</t>
  </si>
  <si>
    <t>Ввод обязательных данных нового пользователя</t>
  </si>
  <si>
    <t>Новый пользователь зарегистрирован</t>
  </si>
  <si>
    <t>Повтор ввода тех же самых обязательных данных уже зарегистрированного пользователя</t>
  </si>
  <si>
    <t>Вывод предупреждения</t>
  </si>
  <si>
    <t>NOK</t>
  </si>
  <si>
    <t>Низкая</t>
  </si>
  <si>
    <t>Страница  "Регистрация" загрузилась</t>
  </si>
  <si>
    <t>Введен логин в русской раскладке клавиатуры</t>
  </si>
  <si>
    <t>Все обязательные для заполнения поля</t>
  </si>
  <si>
    <t>Поле "Логин для чата"</t>
  </si>
  <si>
    <t>Вышло сообщение "Пользователь с таким именем уже существует. Попробуйте войти или восстановить доступ."</t>
  </si>
  <si>
    <t>Внизу поля "Логин для чата" красным подсвечено "Только латиница, цифры и символы_.+-". Кнопка "Зарегистрироваться" не активна.</t>
  </si>
  <si>
    <t>Поле "Пароль"</t>
  </si>
  <si>
    <t>ОК</t>
  </si>
  <si>
    <t>Попытки ввода пароля , не соответствующего требованиям, обозначенным ниже поля "Пароль"</t>
  </si>
  <si>
    <t>При вводе пароля корректно по требованиям, указанным внизу поля "Пароль" зеленым последовательно подсвечиваются выполненные требования "Минимум 8 символов", "Заглавные и строчные буквы", "Хотя бы одна цифра", "Не только буквы". Русская раскладка клавиатуры тоже позволяет зарегистрироваться с паролем при вводе заглавных и строчных букв только русскогшо алфавита и выполнении остальных требований, но требование "Заглавные и строчные буквы" при этом зеленым с галочкой не подсвечиваются, хотя кнопка "Зарегистрироваться" становится активна.</t>
  </si>
  <si>
    <t>Поле "Почта"</t>
  </si>
  <si>
    <t>Поле "Телефон"</t>
  </si>
  <si>
    <t>Попытки ввода адреса электронной почты без символа @ и с разной раскладкой клавиатуры</t>
  </si>
  <si>
    <t xml:space="preserve">Вышло сообщение "Некорректный формат email". Допускает всего один символ и русскую раскладку клавиатуры в адресе, в том числе, "в перемешку" с английской.  </t>
  </si>
  <si>
    <t>Попытки ввода некорректного номера телефона по количеству символов или не цифровых символов</t>
  </si>
  <si>
    <t>При  попытках некорректного ввода номера телефона по количеству символов или не цифровых символов внизу поля "Телефон" красным выводится сообщение "Введите 10 цифр номера". На один номер телефона не зарегистрироваться второй раз даже если при регистрации указываешь все другие обязательные данные.</t>
  </si>
  <si>
    <t>Сообщение в электронной почте от "Наш слон" с электронного адреса elephantaimessenger@gmail.com</t>
  </si>
  <si>
    <t>Переход по ссылке</t>
  </si>
  <si>
    <t>Страница "Вход в систему"</t>
  </si>
  <si>
    <t>Вышло сообщение "Ссылка подтверждения недействительна или уже была использована."</t>
  </si>
  <si>
    <t>Вышло сообщение "Регистрация подтверждена. Теперь вы можете войти."</t>
  </si>
  <si>
    <t>Активация регистрации</t>
  </si>
  <si>
    <t>Переход в браузере по адресу https://elephantaimessenger.ru</t>
  </si>
  <si>
    <t>Ввод валидных данных в поля "Логин или e-mail@ и "Пароль"</t>
  </si>
  <si>
    <t>Переход на главную страницу мессенджера в свой аккаунт</t>
  </si>
  <si>
    <t>Вход в мессенджер в свой аккаунт</t>
  </si>
  <si>
    <t>Ввод некорректных данных в поле "Пароль"</t>
  </si>
  <si>
    <t>Отказ во входе в мессенджер</t>
  </si>
  <si>
    <t>Вышло сообщение "Невозможно войти с представленными учетными данными."</t>
  </si>
  <si>
    <t>Заполнение поля "Пароль"</t>
  </si>
  <si>
    <t>Заполнение поля "Логин или e-mail"</t>
  </si>
  <si>
    <t>Заполнение полей "Логин или e-mail" и "Пароль"</t>
  </si>
  <si>
    <t>Ввод некорректных данных в поле "Логин или e-mail"</t>
  </si>
  <si>
    <t>Отсутствует</t>
  </si>
  <si>
    <t>Заполнение поля "Email"</t>
  </si>
  <si>
    <t>Страница "Восстановление доступа"</t>
  </si>
  <si>
    <t>Ввод корректных и некорректных данных в поле "Email"</t>
  </si>
  <si>
    <t>Отправка ссылки для восстановления пароля на корректно указанный адрес электронной почты зарегистрированного пользователя</t>
  </si>
  <si>
    <t>1. Нет кнопки "Показать/скрыть пароль" не при регистрации, не при дальнейших входах в мессенджер или восстановлении пароля. 
2.На один из тестируемых электронных адресов письмо на электронную почту для подтверждения регистрации пришло в СПАМ. В окне регистрации не пишет, что нужно проверить СПАМ, если письмо с ссылкой в ящике входящей почты не обнаружено.</t>
  </si>
  <si>
    <t xml:space="preserve">1. На корректно введенные адреса ссылки приходят.
2.На "рандомные" адреса, соответствующие синтаксису электронной почты, ссылки тоже отправляются, даже если адрес и домен выдуманы и его точно не существует и нет в базе зарегистрированных в мессенджере аккаунтов. </t>
  </si>
  <si>
    <t>1. При переходе по ссылке, отправленной на адрес 9026020000@bk.ru и savsimvovka@yandex.ru, сразу попадаешь в свой аккаунт в мессенджере, минуя окно "Новый пароль". 
2. Переход по ссылке, отправленной на адрес v9026020000@gmail.com, работает, переводя на окно "Новый пароль".
3. При вводе пароля корректно по требованиям, указанным внизу поля "Пароль" зеленым последовательно подсвечиваются выполненные требования "Минимум 8 символов", "Заглавные и строчные буквы", "Хотя бы одна цифра", "Не только буквы", но при нажатии кнопки "Сменить пароль" выводится красным сообщение "Ошибка валидации. Проверьте заполненные поля." 
Русская раскладка клавиатуры "в перемешку" с английской тоже позволяет вводить новый пароль, но при нажатии на активированную кнопку "Сменить пароль" добавляется требование и подсвечивается зеленым с галочкой "Не очевидный пароль" и выводится красным сообщение "Ошибка валидации. Проверьте заполненные поля." 
Ввод пароля только буквами русской раскладки клавиатуры в обоих регистрах с цифрами, но без английских символов не подсвечивает "Заглавные и строчные латинские буквы" и выводит сообщение "Пароль не соответствует требованиям сложности".</t>
  </si>
  <si>
    <t xml:space="preserve">1. При переходе по ссылке, отправленной на адрес 9026020000@bk.ru и savsimvovka@yandex.ru, сразу попадаешь в свой аккаунт в мессенджере, минуя окно "Новый пароль". 
2. Переход по ссылке, отправленной на адрес v9026020000@gmail.com, работает корректно, переводя на окно "Новый пароль".
3. При вводе пароля корректно по требованиям, указанным внизу поля "Пароль" зеленым последовательно подсвечиваются выполненные требования "Минимум 8 символов", "Заглавные и строчные буквы", "Хотя бы одна цифра", "Не только буквы". 
Ввод пароля только буквами русской раскладки клавиатуры в обоих регистрах с цифрами, но без английских символов выводит сообщение "Пароль не соответствует требованиям сложности".
Символы русской раскладки клавиатуры "в перемешку" с английскими в обоих регистрах и цифрами позволяет ввести новый пароль и впоследствии им пользоваться. </t>
  </si>
  <si>
    <t xml:space="preserve">Переход в окне "Вход в систему" по ссылке </t>
  </si>
  <si>
    <t>Страница "Новый пароль"</t>
  </si>
  <si>
    <t>Ввод корректных и некорректных данных в поля "Введите новый пароль" и "Подтвердите пароль"</t>
  </si>
  <si>
    <t>Заполнение полей "Введите новый пароль" и "Подтвердите пароль"</t>
  </si>
  <si>
    <t>Получение сообщения на зарегистрированную электронную почту для восстановления доступа к мессенджеру "Наш Слон"</t>
  </si>
  <si>
    <t>Сообщение об успешной смене пароля</t>
  </si>
  <si>
    <t>Ввод корректных и некорректных данных в поля "Логин или e-mail" и "Пароль"</t>
  </si>
  <si>
    <t>Переход на главную страницу мессенджера в свой аккаунт с новым паролем</t>
  </si>
  <si>
    <t>Переход на страницу приложения.</t>
  </si>
  <si>
    <t>Корректный поворот экрана (портретный/альбомный режимы).</t>
  </si>
  <si>
    <t>Адаптация под различные разрешения экранов (iPhone, Android, десктоп).</t>
  </si>
  <si>
    <t>Проверка работы приложения при входящем вызове или SMS.</t>
  </si>
  <si>
    <t>Корректная работа при сворачивании и разворачивании браузера на устройстве.</t>
  </si>
  <si>
    <t>Работа приложения без доступа к интернету (офлайн-режим).</t>
  </si>
  <si>
    <t>Уведомления о новых сообщениях (приходят и корректно отображаются).</t>
  </si>
  <si>
    <t>Отображение в актуальных браузерах (Chrome, Safari, Firefox, Edge).</t>
  </si>
  <si>
    <t>Отсутствие съехавших элементов, шрифтов и иконок.</t>
  </si>
  <si>
    <t>Работоспособность всех ссылок и кнопок на нестандартных мониторах.</t>
  </si>
  <si>
    <t>Соответствие стилей шрифтов макетам.</t>
  </si>
  <si>
    <t>Соответствие текстов макетам и документации.</t>
  </si>
  <si>
    <t>Соответствие прочих элементов дизайна макетам.</t>
  </si>
  <si>
    <t>Переход между вкладками приложения</t>
  </si>
  <si>
    <t>Ввод корректных и некорректных данных в поля "Логин или e-mail" и "Пароль", нажать "Войти"</t>
  </si>
  <si>
    <t>Поворот экрана на планшете (портретный/альбомный режимы)</t>
  </si>
  <si>
    <t>Корректный поворот и отображение страниц мессенджера в различных браузерах</t>
  </si>
  <si>
    <t>Корректное отображение страниц мессенджера на планшете с Android в браузерах Chrome, Opera, Яндекс Браузер при повороте планшета из портретного в альбомный режим и наоборот.</t>
  </si>
  <si>
    <t>Страница "Вход в систему" и все действующие страницы мессенджера "Чаты", "Личные сообщения" и др.</t>
  </si>
  <si>
    <t xml:space="preserve">Переход на главную страницу мессенджера в свой аккаунт с десктопа на Windows, ноутбука под Linux, планшета на Android в браузерах Googlle Chrome, Firefox, Opera, Яндекс Браузер </t>
  </si>
  <si>
    <t>Поворот экрана планшета</t>
  </si>
  <si>
    <t>Смена разрешений экрана устройства</t>
  </si>
  <si>
    <t>Корректный отображение страниц мессенджера при различных разрешениях экрана</t>
  </si>
  <si>
    <t>Корректное отображение страниц мессенджера на десктопе на Windows, ноутбуке под Linux в браузерах Googlle Chrome, Firefox, Opera, Яндекс Браузер при изменении разрешения экрана с 3840*2560p до 800*600p, в том числе, 3200*1800p, 2560*1440p,  1920*1080p, 1280*720p и др.</t>
  </si>
  <si>
    <t>Переход в мессенджер в свой аккаунт</t>
  </si>
  <si>
    <t>Отправка СМС с другого устройства, входящий звонок с другого устройства</t>
  </si>
  <si>
    <t>Корректное отображение страниц мессенджера при поступлении на гаджет с используемым мессенджером СМС с другого устройства и входящего звонка с другого устройства</t>
  </si>
  <si>
    <t>Открытый в браузере мессенджер</t>
  </si>
  <si>
    <t>Корректное отображение страниц мессенджера на планшете с Android в браузерах Chrome, Opera, Яндекс Браузер при поступлении на гаджет с используемым мессенджером СМС с другого устройства.
При  входящем звонке с другого устройства на тестируемый планшет с открытым в браузере мессенджером , часть экрана планшета перекрывается сообщением о входящем звонке, но окно мессенджера остается активным, позволяет отвечать на звонок и одновременно пользоваться месссенджером.
Окно браузера с открытым мессенджером не сворачивается и не вылетает ни при входящем СМС, ни при входящем звонке.</t>
  </si>
  <si>
    <t>Сворачивание и восстановление окна браузера  с открытым в нем мессенджером на устройстве.</t>
  </si>
  <si>
    <t>Сворачивание и восстановление окна в различных браузерах с открытым в нем мессенджером на различных устройствах.</t>
  </si>
  <si>
    <t>Корректное отображение страниц мессенджера при сворачивании и восстановлении окна с открытым в нем мессенджером в различных браузерах на различных устройствах.</t>
  </si>
  <si>
    <t>Корректное отображение страниц мессенджера на различных устройствах (декстоп, ноутбук, планшет) в браузерах Chrome, Firefox, Opera, Яндекс Браузер при сворачивании и восстановлении окна браузера в первоначальное состояние.
При  восстановлении окна браузера с открытым в нем мессенджером  окно с ранее открытой страницей мессенджера сохраняется активным.</t>
  </si>
  <si>
    <t>Отключение доступа в интернет при открытом окне браузера с мессенджером в нем.</t>
  </si>
  <si>
    <t>Корректное отображение страниц мессенджера при восстановлении доступа в интернет у устройства с открытым окном браузера с мессенджером в нем в различных браузерах на различных устройствах.</t>
  </si>
  <si>
    <t>При отключения доступа в интернет устройства с открытым окном браузера с мессенджером в нем, браузер не падает, продолжая отображать первоначальную страницу. 
При переключении на страницы мессенджера "Чат" и "Личные сообщения" без доступа устройства в интернет, на переключаемых страницах появляется сообщение красным "Не удалось определить текущего пользователя. Проверьте авторизацию". 
При восстановлении доступа устройств в интернет при открытом окне мессенджера восстанавливается корректное отображение открытой страницы  в первоначальное состояние, протестировано на различных устройствах (декстоп, ноутбук, планшет) в браузерах Chrome, Firefox, Opera, Яндекс Браузер.</t>
  </si>
  <si>
    <t>Уведомления о новых сообщениях</t>
  </si>
  <si>
    <t>Все действующие страницы мессенджера "Чаты", "Личные сообщения" и др.</t>
  </si>
  <si>
    <t>Отправка сообщения от одного зарегистрированного пользователя другому и наоборот</t>
  </si>
  <si>
    <t>Корректное отображение уведомлений о новых сообщениях</t>
  </si>
  <si>
    <t>При открытом окне браузера с мессенджером на страницах  "Чаты" или "Личные сообщения" пришедшее от другого пользователя сообщение корректно отображается непосредственно на открытой странице. 
Если окно браузера с запущенным мессенджером отображает любую другую страницу "Корпоративные чаты", "Сообщества" и др., то входящее сообщение отображается в виде хорошо различимых индикаторов - крупных синих точек в левой части рядом открытого окна мессенджера рядом с вкладками "Чаты" и "Личные сообщения", при нажатии на которые открывается  чат с данным отправителем на странице "Личные сообщения" с отображением последнего и всех предыдущих  сообщений с этим контрагентом.
Протестировано на различных устройствах (декстоп, ноутбук, планшет) в браузерах Chrome, Firefox, Opera, Яндекс Браузер.</t>
  </si>
  <si>
    <t>Все действующие страницы мессенджера.</t>
  </si>
  <si>
    <t>Не выявлено съехавших элементов, шрифтов и иконок.</t>
  </si>
  <si>
    <t>Визуальный просмотр всех действующих страниц мессенджера</t>
  </si>
  <si>
    <t>Проверка работоспособности всех ссылок и кнопок.</t>
  </si>
  <si>
    <t>Переходы между вкладками мессенджера осуществляются корректно.</t>
  </si>
  <si>
    <t>Не выявлено несоответствие прочих элементов дизайна макетам.</t>
  </si>
  <si>
    <t>Не выявлено несоответствие текстов макетам и документации.</t>
  </si>
  <si>
    <t>Корректное отображение страниц мессенджера на различных устройствах (декстоп, ноутбук, планшет) с ОС Windows, Linux&lt; Android в браузерах Google Chrome, Firefox, Opera, Яндекс Браузер.</t>
  </si>
  <si>
    <t>Корректное отображение страниц мессенджера на различных устройствах под разными ОС</t>
  </si>
  <si>
    <t>Работа всех вкладок, ссылок и кнопок на всех страницах мессенджера</t>
  </si>
  <si>
    <t>В ходе тестирования выявлено следующее: 
1.Не активны кнопки "Настройки" и кнопка зарегистрированного пользователя, расположенные в левой нижней части окна.
2.При нажатии на кнопку "Сообщества" в открывающейся вкладке нет каких-либо кнопок или полей, соответственно не ясно, как эта страница будет заполняться. 
3. При написании сообщений  на страницах "Личные сообщения" и "Корпоративные чаты" не работает кнопка для вложения/прикрепления файлов к тексту создаваемого сообщения.</t>
  </si>
  <si>
    <t>Не выявлено несоответствие шрифтов макетам.</t>
  </si>
  <si>
    <t>Поиск нового контакта.</t>
  </si>
  <si>
    <t>Поиск уже добавленного контакта.</t>
  </si>
  <si>
    <t>Добавление нового контакта.</t>
  </si>
  <si>
    <t>Просмотр карточки контакта.</t>
  </si>
  <si>
    <t>Удаление контакта.</t>
  </si>
  <si>
    <t>Проверка отображения актуального списка контактов при выходе из учетной записи и новой авторизации пользователя в приложении.</t>
  </si>
  <si>
    <t>Создание нового личного чата.</t>
  </si>
  <si>
    <t>Удаление личного чата.</t>
  </si>
  <si>
    <t>Переписка в личном чате со вторым пользователем.</t>
  </si>
  <si>
    <t>Создание нового группового чата с одним участником (помимо создателя чата).</t>
  </si>
  <si>
    <t>Создание нового группового чата с двумя и более участниками (помимо создателя чата).</t>
  </si>
  <si>
    <t>Удаление одного или более участников из группового чата.</t>
  </si>
  <si>
    <t>Удаление группового чата.</t>
  </si>
  <si>
    <t>Переписка в групповом чате со вторым пользователем.</t>
  </si>
  <si>
    <t>Поиск сообщения в чате ?</t>
  </si>
  <si>
    <t>Отправить сообщение при потере соединения</t>
  </si>
  <si>
    <t>Оставить сообщение неотправленным с продолжительным периодом неактивности</t>
  </si>
  <si>
    <t>Оставить сообщение неотправленным и перезайти в аккаунт</t>
  </si>
  <si>
    <t>Любая действующая страница мессенджера.</t>
  </si>
  <si>
    <t xml:space="preserve">Нажать на вкладку "Контакты", в поле ниже "Контакты" "Список сотрудников и участников" начать вводить символы, которые предположительно присутствуют в имени, фамилии или логине </t>
  </si>
  <si>
    <t>Вывод контактов, зарегистрированных в мессенджере</t>
  </si>
  <si>
    <t>Поиск зарегистрированных пользователей</t>
  </si>
  <si>
    <t>Переход на вкладку/страницу "Контакты" происходит корректно из любой другой страницы мессенджера. При начале ввода любой последовательности символов вне зависимости от регистра (буквенных, цифровых и других допустимых при регистрации знаков) корректно осуществляется поиск не только по наличию вводимой последовательности в имени, фамилии или логине, но и в любом другом поле, заполненным пользователем при регистрации. Корректно отображаются, добавляются и исключаются из списка все пользователи, точно соответствующие вводимой последовательности символов в одном из полей "Карточки контакта". При нажатии на знак "+" справа от найденного нового контанкта происходит добавление данного контакта в имеющийся перечень ранее сформированных контактов.</t>
  </si>
  <si>
    <t>При начале ввода любой последовательности символов вне зависимости от регистра (буквенных, цифровых и других допустимых при регистрации знаков) корректно осуществляется поиск не только по наличию вводимой последовательности в имени, фамилии или логине, но и в любом другом поле, заполненным пользователем при регистрации. Корректно отображаются, добавляются и исключаются из списка все пользователи, точно соответствующие вводимой последовательности символов в одном из полей "Карточки контакта". 
При нажатии на один из найденных контактов из имеющийся в перечене ранее сформированных контактов "Карточка контакта" не переключается на/не соответствует выбранному контакту пока в строке поиска остаются какие-то символы введенного запроса.</t>
  </si>
  <si>
    <t xml:space="preserve"> Требует уточнения</t>
  </si>
  <si>
    <t>Добавление нового контакта в список контактов.</t>
  </si>
  <si>
    <t>Найденный контакт из ранее зарегистрированных в мессенджере добавляется в список контактов текущего пользователя.</t>
  </si>
  <si>
    <t xml:space="preserve">Нажать на вкладку "Контакты", в поле ниже "Контакты" "Список сотрудников и участников" выбрать одного из контрагентов, представленных в списке </t>
  </si>
  <si>
    <t>В правой части страницы открывается "Карточка контакта" выбранного пользователя</t>
  </si>
  <si>
    <t>Выбор контрагента из "Списка сотрудников и участников" и просмотр его "Карточки контакта"</t>
  </si>
  <si>
    <t>Страница "Контакты" "Список сотрудников и участников"</t>
  </si>
  <si>
    <t>"Карточка контакта" "Полная информация по выбранному пользователю" корректно открывается только если в поле "Поиск контактов" нет никаких символов. 
Аналогично замечанию в п. 2, при нажатии на один из найденных контактов из имеющийся в перечене ранее сформированного Списка контактов "Карточка контакта" не переключается на/не соответствует выбранному контакту пока в строке "Поиск контактов..." остаются какие-то символы введенного запроса.</t>
  </si>
  <si>
    <t>Нажатие кнопки "+" справа от найденного и ранее не включенного пользователя в поле ниже "Контакты" "Список сотрудников и участников" корректно добавляет этот контакт в список контактов текущего пользователя.</t>
  </si>
  <si>
    <t>Выбрать одного из контрагентов на странице "Контакты",  представленных в Списке, ниже "Контакты" "Список сотрудников и участников". В открывшейся соответствующей данному пользователю "Карточке контакта" "Полная информация по выбранному пользователю" нажать на кнопку "Удалить" в правой верхней части страницы.</t>
  </si>
  <si>
    <t>Удаление выбранного контрагента из "Списка сотрудников и участников"</t>
  </si>
  <si>
    <t>Нажатие кнопки "Удалить" в правой верхней части страницы корректно удаляет выбранный контакт из "Списка сотрудников и участников" текущего пользователя.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</si>
</sst>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Border="1" applyAlignment="1">
      <alignment vertical="top" wrapText="1"/>
    </xf>
    <xf numFmtId="0" fontId="0" fillId="0" borderId="0" xfId="0" applyAlignment="1">
      <alignment horizontal="center"/>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1" fillId="0" borderId="1" xfId="0" applyFont="1" applyBorder="1"/>
    <xf numFmtId="0" fontId="1" fillId="0" borderId="2" xfId="0" applyFont="1" applyBorder="1"/>
    <xf numFmtId="0" fontId="1" fillId="0" borderId="3" xfId="0" applyFont="1" applyBorder="1"/>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4" xfId="0" applyBorder="1" applyAlignment="1">
      <alignment horizontal="center"/>
    </xf>
    <xf numFmtId="0" fontId="0" fillId="0" borderId="4" xfId="0" applyBorder="1"/>
    <xf numFmtId="0" fontId="0" fillId="0" borderId="4" xfId="0" applyFill="1" applyBorder="1" applyAlignment="1">
      <alignment vertical="top" wrapText="1"/>
    </xf>
    <xf numFmtId="0" fontId="0" fillId="0" borderId="4" xfId="0"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6B36-EDC6-4D0F-A787-8ABCA8859477}">
  <dimension ref="A1:P37"/>
  <sheetViews>
    <sheetView workbookViewId="0">
      <pane ySplit="3" topLeftCell="A4" activePane="bottomLeft" state="frozen"/>
      <selection pane="bottomLeft" activeCell="A10" sqref="A10:XFD10"/>
    </sheetView>
  </sheetViews>
  <sheetFormatPr defaultRowHeight="14.6" x14ac:dyDescent="0.4"/>
  <cols>
    <col min="1" max="1" width="14.3828125" customWidth="1"/>
    <col min="2" max="2" width="44.53515625" customWidth="1"/>
    <col min="3" max="3" width="19.921875" customWidth="1"/>
    <col min="4" max="4" width="19.3046875" customWidth="1"/>
    <col min="5" max="5" width="21.15234375" customWidth="1"/>
    <col min="6" max="6" width="29.07421875" customWidth="1"/>
    <col min="7" max="7" width="21.84375" customWidth="1"/>
    <col min="8" max="8" width="15.53515625" customWidth="1"/>
    <col min="9" max="9" width="58.84375" customWidth="1"/>
    <col min="10" max="10" width="22.53515625" customWidth="1"/>
    <col min="11" max="11" width="16" customWidth="1"/>
  </cols>
  <sheetData>
    <row r="1" spans="1:16" ht="15" thickBot="1" x14ac:dyDescent="0.45">
      <c r="A1" s="9" t="s">
        <v>0</v>
      </c>
      <c r="B1" s="10" t="s">
        <v>1</v>
      </c>
      <c r="C1" s="10" t="s">
        <v>4</v>
      </c>
      <c r="D1" s="10" t="s">
        <v>7</v>
      </c>
      <c r="E1" s="10" t="s">
        <v>9</v>
      </c>
      <c r="F1" s="10" t="s">
        <v>12</v>
      </c>
      <c r="G1" s="10" t="s">
        <v>15</v>
      </c>
      <c r="H1" s="10" t="s">
        <v>18</v>
      </c>
      <c r="I1" s="10" t="s">
        <v>18</v>
      </c>
      <c r="J1" s="10" t="s">
        <v>21</v>
      </c>
      <c r="K1" s="11" t="s">
        <v>24</v>
      </c>
    </row>
    <row r="2" spans="1:16" s="1" customFormat="1" ht="87.45" hidden="1" x14ac:dyDescent="0.4">
      <c r="A2" s="6"/>
      <c r="B2" s="7" t="s">
        <v>2</v>
      </c>
      <c r="C2" s="7" t="s">
        <v>5</v>
      </c>
      <c r="D2" s="7" t="s">
        <v>8</v>
      </c>
      <c r="E2" s="7" t="s">
        <v>10</v>
      </c>
      <c r="F2" s="7" t="s">
        <v>13</v>
      </c>
      <c r="G2" s="7" t="s">
        <v>16</v>
      </c>
      <c r="H2" s="7" t="s">
        <v>19</v>
      </c>
      <c r="I2" s="7" t="s">
        <v>20</v>
      </c>
      <c r="J2" s="7" t="s">
        <v>22</v>
      </c>
      <c r="K2" s="8" t="s">
        <v>25</v>
      </c>
    </row>
    <row r="3" spans="1:16" s="1" customFormat="1" ht="72.900000000000006" hidden="1" x14ac:dyDescent="0.4">
      <c r="A3" s="15"/>
      <c r="B3" s="3" t="s">
        <v>3</v>
      </c>
      <c r="C3" s="3" t="s">
        <v>6</v>
      </c>
      <c r="D3" s="3"/>
      <c r="E3" s="3" t="s">
        <v>11</v>
      </c>
      <c r="F3" s="3" t="s">
        <v>14</v>
      </c>
      <c r="G3" s="3" t="s">
        <v>17</v>
      </c>
      <c r="H3" s="3"/>
      <c r="I3" s="3"/>
      <c r="J3" s="3" t="s">
        <v>23</v>
      </c>
      <c r="K3" s="16"/>
    </row>
    <row r="4" spans="1:16" ht="29.15" x14ac:dyDescent="0.4">
      <c r="A4" s="17">
        <v>1</v>
      </c>
      <c r="B4" s="2" t="s">
        <v>26</v>
      </c>
      <c r="C4" s="2" t="s">
        <v>47</v>
      </c>
      <c r="D4" s="2"/>
      <c r="E4" s="2" t="s">
        <v>48</v>
      </c>
      <c r="F4" s="2" t="s">
        <v>49</v>
      </c>
      <c r="G4" s="2" t="s">
        <v>50</v>
      </c>
      <c r="H4" s="20" t="s">
        <v>46</v>
      </c>
      <c r="I4" s="2" t="s">
        <v>50</v>
      </c>
      <c r="J4" s="2" t="s">
        <v>43</v>
      </c>
      <c r="K4" s="2"/>
      <c r="L4" s="1"/>
      <c r="M4" s="1"/>
      <c r="N4" s="1"/>
      <c r="O4" s="1"/>
      <c r="P4" s="1"/>
    </row>
    <row r="5" spans="1:16" ht="43.75" x14ac:dyDescent="0.4">
      <c r="A5" s="17">
        <f>A4+1</f>
        <v>2</v>
      </c>
      <c r="B5" s="2" t="s">
        <v>27</v>
      </c>
      <c r="C5" s="2" t="s">
        <v>58</v>
      </c>
      <c r="D5" s="2" t="s">
        <v>60</v>
      </c>
      <c r="E5" s="2" t="s">
        <v>51</v>
      </c>
      <c r="F5" s="2" t="s">
        <v>52</v>
      </c>
      <c r="G5" s="2" t="s">
        <v>53</v>
      </c>
      <c r="H5" s="20" t="s">
        <v>46</v>
      </c>
      <c r="I5" s="2" t="s">
        <v>78</v>
      </c>
      <c r="J5" s="2" t="s">
        <v>43</v>
      </c>
      <c r="K5" s="18"/>
      <c r="L5" s="1"/>
      <c r="M5" s="1"/>
      <c r="N5" s="1"/>
      <c r="O5" s="1"/>
      <c r="P5" s="1"/>
    </row>
    <row r="6" spans="1:16" ht="58.3" x14ac:dyDescent="0.4">
      <c r="A6" s="17">
        <f t="shared" ref="A6:A37" si="0">A5+1</f>
        <v>3</v>
      </c>
      <c r="B6" s="2" t="s">
        <v>28</v>
      </c>
      <c r="C6" s="2" t="s">
        <v>58</v>
      </c>
      <c r="D6" s="2" t="s">
        <v>60</v>
      </c>
      <c r="E6" s="2" t="s">
        <v>51</v>
      </c>
      <c r="F6" s="2" t="s">
        <v>54</v>
      </c>
      <c r="G6" s="2" t="s">
        <v>55</v>
      </c>
      <c r="H6" s="20" t="s">
        <v>46</v>
      </c>
      <c r="I6" s="2" t="s">
        <v>62</v>
      </c>
      <c r="J6" s="2" t="s">
        <v>43</v>
      </c>
      <c r="K6" s="2"/>
      <c r="L6" s="1"/>
      <c r="M6" s="1"/>
      <c r="N6" s="1"/>
      <c r="O6" s="1"/>
      <c r="P6" s="1"/>
    </row>
    <row r="7" spans="1:16" ht="42.9" customHeight="1" x14ac:dyDescent="0.4">
      <c r="A7" s="17">
        <f t="shared" si="0"/>
        <v>4</v>
      </c>
      <c r="B7" s="2" t="s">
        <v>29</v>
      </c>
      <c r="C7" s="2" t="s">
        <v>58</v>
      </c>
      <c r="D7" s="2" t="s">
        <v>61</v>
      </c>
      <c r="E7" s="2" t="s">
        <v>51</v>
      </c>
      <c r="F7" s="2" t="s">
        <v>59</v>
      </c>
      <c r="G7" s="2" t="s">
        <v>55</v>
      </c>
      <c r="H7" s="20" t="s">
        <v>46</v>
      </c>
      <c r="I7" s="2" t="s">
        <v>63</v>
      </c>
      <c r="J7" s="2" t="s">
        <v>43</v>
      </c>
      <c r="K7" s="2"/>
    </row>
    <row r="8" spans="1:16" ht="181.3" customHeight="1" x14ac:dyDescent="0.4">
      <c r="A8" s="17">
        <f t="shared" si="0"/>
        <v>5</v>
      </c>
      <c r="B8" s="2" t="s">
        <v>30</v>
      </c>
      <c r="C8" s="2" t="s">
        <v>58</v>
      </c>
      <c r="D8" s="2" t="s">
        <v>64</v>
      </c>
      <c r="E8" s="2" t="s">
        <v>51</v>
      </c>
      <c r="F8" s="2" t="s">
        <v>66</v>
      </c>
      <c r="G8" s="2" t="s">
        <v>55</v>
      </c>
      <c r="H8" s="20" t="s">
        <v>46</v>
      </c>
      <c r="I8" s="2" t="s">
        <v>67</v>
      </c>
      <c r="J8" s="2" t="s">
        <v>44</v>
      </c>
      <c r="K8" s="2" t="s">
        <v>57</v>
      </c>
    </row>
    <row r="9" spans="1:16" ht="63.45" customHeight="1" x14ac:dyDescent="0.4">
      <c r="A9" s="17">
        <f t="shared" si="0"/>
        <v>6</v>
      </c>
      <c r="B9" s="2" t="s">
        <v>31</v>
      </c>
      <c r="C9" s="2" t="s">
        <v>58</v>
      </c>
      <c r="D9" s="2" t="s">
        <v>68</v>
      </c>
      <c r="E9" s="2" t="s">
        <v>51</v>
      </c>
      <c r="F9" s="2" t="s">
        <v>70</v>
      </c>
      <c r="G9" s="2" t="s">
        <v>55</v>
      </c>
      <c r="H9" s="20" t="s">
        <v>46</v>
      </c>
      <c r="I9" s="2" t="s">
        <v>71</v>
      </c>
      <c r="J9" s="2" t="s">
        <v>43</v>
      </c>
      <c r="K9" s="2"/>
    </row>
    <row r="10" spans="1:16" ht="87.45" x14ac:dyDescent="0.4">
      <c r="A10" s="17">
        <f t="shared" si="0"/>
        <v>7</v>
      </c>
      <c r="B10" s="2" t="s">
        <v>32</v>
      </c>
      <c r="C10" s="2" t="s">
        <v>58</v>
      </c>
      <c r="D10" s="2" t="s">
        <v>69</v>
      </c>
      <c r="E10" s="2" t="s">
        <v>51</v>
      </c>
      <c r="F10" s="2" t="s">
        <v>72</v>
      </c>
      <c r="G10" s="2" t="s">
        <v>55</v>
      </c>
      <c r="H10" s="20" t="s">
        <v>65</v>
      </c>
      <c r="I10" s="2" t="s">
        <v>73</v>
      </c>
      <c r="J10" s="2" t="s">
        <v>44</v>
      </c>
      <c r="K10" s="2" t="s">
        <v>57</v>
      </c>
    </row>
    <row r="11" spans="1:16" ht="87.45" x14ac:dyDescent="0.4">
      <c r="A11" s="17">
        <f t="shared" si="0"/>
        <v>8</v>
      </c>
      <c r="B11" s="2" t="s">
        <v>33</v>
      </c>
      <c r="C11" s="2" t="s">
        <v>74</v>
      </c>
      <c r="D11" s="2" t="s">
        <v>75</v>
      </c>
      <c r="E11" s="2" t="s">
        <v>76</v>
      </c>
      <c r="F11" s="2" t="s">
        <v>75</v>
      </c>
      <c r="G11" s="2" t="s">
        <v>79</v>
      </c>
      <c r="H11" s="20" t="s">
        <v>46</v>
      </c>
      <c r="I11" s="2" t="s">
        <v>78</v>
      </c>
      <c r="J11" s="2" t="s">
        <v>43</v>
      </c>
      <c r="K11" s="2"/>
    </row>
    <row r="12" spans="1:16" ht="87.45" x14ac:dyDescent="0.4">
      <c r="A12" s="17">
        <f t="shared" si="0"/>
        <v>9</v>
      </c>
      <c r="B12" s="2" t="s">
        <v>34</v>
      </c>
      <c r="C12" s="2" t="s">
        <v>74</v>
      </c>
      <c r="D12" s="2" t="s">
        <v>75</v>
      </c>
      <c r="E12" s="2" t="s">
        <v>76</v>
      </c>
      <c r="F12" s="2" t="s">
        <v>75</v>
      </c>
      <c r="G12" s="2" t="s">
        <v>55</v>
      </c>
      <c r="H12" s="20" t="s">
        <v>46</v>
      </c>
      <c r="I12" s="2" t="s">
        <v>77</v>
      </c>
      <c r="J12" s="2" t="s">
        <v>43</v>
      </c>
      <c r="K12" s="2"/>
    </row>
    <row r="13" spans="1:16" ht="102" x14ac:dyDescent="0.4">
      <c r="A13" s="17">
        <f t="shared" si="0"/>
        <v>10</v>
      </c>
      <c r="B13" s="2" t="s">
        <v>35</v>
      </c>
      <c r="C13" s="2" t="s">
        <v>58</v>
      </c>
      <c r="D13" s="2" t="s">
        <v>60</v>
      </c>
      <c r="E13" s="2" t="s">
        <v>51</v>
      </c>
      <c r="F13" s="2" t="s">
        <v>52</v>
      </c>
      <c r="G13" s="2" t="s">
        <v>53</v>
      </c>
      <c r="H13" s="20" t="s">
        <v>46</v>
      </c>
      <c r="I13" s="2" t="s">
        <v>96</v>
      </c>
      <c r="J13" s="2" t="s">
        <v>44</v>
      </c>
      <c r="K13" s="2" t="s">
        <v>57</v>
      </c>
    </row>
    <row r="14" spans="1:16" ht="58.3" x14ac:dyDescent="0.4">
      <c r="A14" s="17">
        <f t="shared" si="0"/>
        <v>11</v>
      </c>
      <c r="B14" s="2" t="s">
        <v>36</v>
      </c>
      <c r="C14" s="2" t="s">
        <v>80</v>
      </c>
      <c r="D14" s="2" t="s">
        <v>89</v>
      </c>
      <c r="E14" s="2" t="s">
        <v>76</v>
      </c>
      <c r="F14" s="2" t="s">
        <v>81</v>
      </c>
      <c r="G14" s="2" t="s">
        <v>83</v>
      </c>
      <c r="H14" s="20" t="s">
        <v>46</v>
      </c>
      <c r="I14" s="2" t="s">
        <v>82</v>
      </c>
      <c r="J14" s="2" t="s">
        <v>43</v>
      </c>
      <c r="K14" s="2"/>
    </row>
    <row r="15" spans="1:16" ht="58.3" x14ac:dyDescent="0.4">
      <c r="A15" s="17">
        <f t="shared" si="0"/>
        <v>12</v>
      </c>
      <c r="B15" s="2" t="s">
        <v>37</v>
      </c>
      <c r="C15" s="2" t="s">
        <v>80</v>
      </c>
      <c r="D15" s="2" t="s">
        <v>87</v>
      </c>
      <c r="E15" s="2" t="s">
        <v>76</v>
      </c>
      <c r="F15" s="2" t="s">
        <v>84</v>
      </c>
      <c r="G15" s="2" t="s">
        <v>85</v>
      </c>
      <c r="H15" s="20" t="s">
        <v>46</v>
      </c>
      <c r="I15" s="2" t="s">
        <v>86</v>
      </c>
      <c r="J15" s="2" t="s">
        <v>43</v>
      </c>
      <c r="K15" s="2"/>
    </row>
    <row r="16" spans="1:16" ht="58.3" x14ac:dyDescent="0.4">
      <c r="A16" s="17">
        <f t="shared" si="0"/>
        <v>13</v>
      </c>
      <c r="B16" s="2" t="s">
        <v>38</v>
      </c>
      <c r="C16" s="2" t="s">
        <v>80</v>
      </c>
      <c r="D16" s="2" t="s">
        <v>88</v>
      </c>
      <c r="E16" s="2" t="s">
        <v>76</v>
      </c>
      <c r="F16" s="2" t="s">
        <v>90</v>
      </c>
      <c r="G16" s="2" t="s">
        <v>85</v>
      </c>
      <c r="H16" s="20" t="s">
        <v>46</v>
      </c>
      <c r="I16" s="2" t="s">
        <v>86</v>
      </c>
      <c r="J16" s="2" t="s">
        <v>43</v>
      </c>
      <c r="K16" s="2"/>
    </row>
    <row r="17" spans="1:11" ht="58.3" x14ac:dyDescent="0.4">
      <c r="A17" s="17">
        <f t="shared" si="0"/>
        <v>14</v>
      </c>
      <c r="B17" s="2" t="s">
        <v>31</v>
      </c>
      <c r="C17" s="2" t="s">
        <v>80</v>
      </c>
      <c r="D17" s="2" t="s">
        <v>88</v>
      </c>
      <c r="E17" s="2" t="s">
        <v>76</v>
      </c>
      <c r="F17" s="2" t="s">
        <v>90</v>
      </c>
      <c r="G17" s="2" t="s">
        <v>85</v>
      </c>
      <c r="H17" s="20" t="s">
        <v>46</v>
      </c>
      <c r="I17" s="2" t="s">
        <v>86</v>
      </c>
      <c r="J17" s="2" t="s">
        <v>43</v>
      </c>
      <c r="K17" s="2"/>
    </row>
    <row r="18" spans="1:11" ht="58.3" x14ac:dyDescent="0.4">
      <c r="A18" s="17">
        <f t="shared" si="0"/>
        <v>15</v>
      </c>
      <c r="B18" s="2" t="s">
        <v>39</v>
      </c>
      <c r="C18" s="2" t="s">
        <v>80</v>
      </c>
      <c r="D18" s="2"/>
      <c r="E18" s="2" t="s">
        <v>76</v>
      </c>
      <c r="F18" s="2"/>
      <c r="G18" s="2"/>
      <c r="H18" s="20" t="s">
        <v>56</v>
      </c>
      <c r="I18" s="2" t="s">
        <v>91</v>
      </c>
      <c r="J18" s="2" t="s">
        <v>44</v>
      </c>
      <c r="K18" s="2" t="s">
        <v>45</v>
      </c>
    </row>
    <row r="19" spans="1:11" ht="102" x14ac:dyDescent="0.4">
      <c r="A19" s="17">
        <f t="shared" si="0"/>
        <v>16</v>
      </c>
      <c r="B19" s="2" t="s">
        <v>40</v>
      </c>
      <c r="C19" s="2" t="s">
        <v>80</v>
      </c>
      <c r="D19" s="2" t="s">
        <v>92</v>
      </c>
      <c r="E19" s="2" t="s">
        <v>93</v>
      </c>
      <c r="F19" s="2" t="s">
        <v>94</v>
      </c>
      <c r="G19" s="2" t="s">
        <v>95</v>
      </c>
      <c r="H19" s="20" t="s">
        <v>46</v>
      </c>
      <c r="I19" s="19" t="s">
        <v>97</v>
      </c>
      <c r="J19" s="2" t="s">
        <v>44</v>
      </c>
      <c r="K19" s="2" t="s">
        <v>57</v>
      </c>
    </row>
    <row r="20" spans="1:11" ht="320.60000000000002" x14ac:dyDescent="0.4">
      <c r="A20" s="17">
        <f t="shared" si="0"/>
        <v>17</v>
      </c>
      <c r="B20" s="2" t="s">
        <v>41</v>
      </c>
      <c r="C20" s="2" t="s">
        <v>104</v>
      </c>
      <c r="D20" s="2" t="s">
        <v>103</v>
      </c>
      <c r="E20" s="2" t="s">
        <v>101</v>
      </c>
      <c r="F20" s="2" t="s">
        <v>102</v>
      </c>
      <c r="G20" s="2" t="s">
        <v>105</v>
      </c>
      <c r="H20" s="20" t="s">
        <v>56</v>
      </c>
      <c r="I20" s="2" t="s">
        <v>98</v>
      </c>
      <c r="J20" s="2" t="s">
        <v>44</v>
      </c>
      <c r="K20" s="2" t="s">
        <v>45</v>
      </c>
    </row>
    <row r="21" spans="1:11" ht="233.15" x14ac:dyDescent="0.4">
      <c r="A21" s="17">
        <f t="shared" si="0"/>
        <v>18</v>
      </c>
      <c r="B21" s="2" t="s">
        <v>42</v>
      </c>
      <c r="C21" s="2" t="s">
        <v>104</v>
      </c>
      <c r="D21" s="2" t="s">
        <v>103</v>
      </c>
      <c r="E21" s="2" t="s">
        <v>101</v>
      </c>
      <c r="F21" s="2" t="s">
        <v>102</v>
      </c>
      <c r="G21" s="2" t="s">
        <v>105</v>
      </c>
      <c r="H21" s="20" t="s">
        <v>56</v>
      </c>
      <c r="I21" s="2" t="s">
        <v>99</v>
      </c>
      <c r="J21" s="2" t="s">
        <v>44</v>
      </c>
      <c r="K21" s="2" t="s">
        <v>45</v>
      </c>
    </row>
    <row r="22" spans="1:11" ht="43.75" x14ac:dyDescent="0.4">
      <c r="A22" s="17">
        <f t="shared" si="0"/>
        <v>19</v>
      </c>
      <c r="B22" s="2" t="s">
        <v>26</v>
      </c>
      <c r="C22" s="2" t="s">
        <v>100</v>
      </c>
      <c r="D22" s="2" t="s">
        <v>89</v>
      </c>
      <c r="E22" s="2" t="s">
        <v>76</v>
      </c>
      <c r="F22" s="2" t="s">
        <v>106</v>
      </c>
      <c r="G22" s="2" t="s">
        <v>83</v>
      </c>
      <c r="H22" s="20" t="s">
        <v>46</v>
      </c>
      <c r="I22" s="2" t="s">
        <v>107</v>
      </c>
      <c r="J22" s="2" t="s">
        <v>43</v>
      </c>
      <c r="K22" s="2"/>
    </row>
    <row r="23" spans="1:11" x14ac:dyDescent="0.4">
      <c r="A23" s="17">
        <f t="shared" si="0"/>
        <v>20</v>
      </c>
      <c r="B23" s="2" t="s">
        <v>35</v>
      </c>
      <c r="C23" s="2"/>
      <c r="D23" s="2"/>
      <c r="E23" s="2"/>
      <c r="F23" s="2"/>
      <c r="G23" s="2"/>
      <c r="H23" s="20"/>
      <c r="I23" s="2"/>
      <c r="J23" s="2"/>
      <c r="K23" s="2"/>
    </row>
    <row r="24" spans="1:11" ht="58.3" x14ac:dyDescent="0.4">
      <c r="A24" s="17">
        <f t="shared" si="0"/>
        <v>21</v>
      </c>
      <c r="B24" s="2" t="s">
        <v>108</v>
      </c>
      <c r="C24" s="2" t="s">
        <v>80</v>
      </c>
      <c r="D24" s="2" t="s">
        <v>89</v>
      </c>
      <c r="E24" s="2" t="s">
        <v>76</v>
      </c>
      <c r="F24" s="2" t="s">
        <v>122</v>
      </c>
      <c r="G24" s="2" t="s">
        <v>83</v>
      </c>
      <c r="H24" s="20" t="s">
        <v>46</v>
      </c>
      <c r="I24" s="2" t="s">
        <v>127</v>
      </c>
      <c r="J24" s="2" t="s">
        <v>43</v>
      </c>
      <c r="K24" s="2"/>
    </row>
    <row r="25" spans="1:11" ht="102" x14ac:dyDescent="0.4">
      <c r="A25" s="17">
        <f t="shared" si="0"/>
        <v>22</v>
      </c>
      <c r="B25" s="2" t="s">
        <v>109</v>
      </c>
      <c r="C25" s="2" t="s">
        <v>82</v>
      </c>
      <c r="D25" s="2" t="s">
        <v>128</v>
      </c>
      <c r="E25" s="2" t="s">
        <v>126</v>
      </c>
      <c r="F25" s="2" t="s">
        <v>123</v>
      </c>
      <c r="G25" s="2" t="s">
        <v>124</v>
      </c>
      <c r="H25" s="20" t="s">
        <v>46</v>
      </c>
      <c r="I25" s="2" t="s">
        <v>125</v>
      </c>
      <c r="J25" s="2" t="s">
        <v>43</v>
      </c>
      <c r="K25" s="2"/>
    </row>
    <row r="26" spans="1:11" ht="102" x14ac:dyDescent="0.4">
      <c r="A26" s="17">
        <f t="shared" si="0"/>
        <v>23</v>
      </c>
      <c r="B26" s="2" t="s">
        <v>110</v>
      </c>
      <c r="C26" s="2" t="s">
        <v>82</v>
      </c>
      <c r="D26" s="2" t="s">
        <v>129</v>
      </c>
      <c r="E26" s="2" t="s">
        <v>126</v>
      </c>
      <c r="F26" s="2" t="s">
        <v>129</v>
      </c>
      <c r="G26" s="2" t="s">
        <v>130</v>
      </c>
      <c r="H26" s="20" t="s">
        <v>46</v>
      </c>
      <c r="I26" s="2" t="s">
        <v>131</v>
      </c>
      <c r="J26" s="2" t="s">
        <v>43</v>
      </c>
      <c r="K26" s="2"/>
    </row>
    <row r="27" spans="1:11" ht="160.30000000000001" x14ac:dyDescent="0.4">
      <c r="A27" s="17">
        <f t="shared" si="0"/>
        <v>24</v>
      </c>
      <c r="B27" s="2" t="s">
        <v>111</v>
      </c>
      <c r="C27" s="2" t="s">
        <v>132</v>
      </c>
      <c r="D27" s="2" t="s">
        <v>133</v>
      </c>
      <c r="E27" s="2" t="s">
        <v>126</v>
      </c>
      <c r="F27" s="2" t="s">
        <v>133</v>
      </c>
      <c r="G27" s="2" t="s">
        <v>134</v>
      </c>
      <c r="H27" s="20" t="s">
        <v>46</v>
      </c>
      <c r="I27" s="2" t="s">
        <v>136</v>
      </c>
      <c r="J27" s="2" t="s">
        <v>43</v>
      </c>
      <c r="K27" s="2"/>
    </row>
    <row r="28" spans="1:11" ht="131.15" x14ac:dyDescent="0.4">
      <c r="A28" s="17">
        <f t="shared" si="0"/>
        <v>25</v>
      </c>
      <c r="B28" s="2" t="s">
        <v>112</v>
      </c>
      <c r="C28" s="2" t="s">
        <v>135</v>
      </c>
      <c r="D28" s="2" t="s">
        <v>137</v>
      </c>
      <c r="E28" s="2" t="s">
        <v>126</v>
      </c>
      <c r="F28" s="2" t="s">
        <v>138</v>
      </c>
      <c r="G28" s="2" t="s">
        <v>139</v>
      </c>
      <c r="H28" s="20" t="s">
        <v>46</v>
      </c>
      <c r="I28" s="2" t="s">
        <v>140</v>
      </c>
      <c r="J28" s="2" t="s">
        <v>43</v>
      </c>
      <c r="K28" s="2"/>
    </row>
    <row r="29" spans="1:11" ht="189.45" x14ac:dyDescent="0.4">
      <c r="A29" s="17">
        <f t="shared" si="0"/>
        <v>26</v>
      </c>
      <c r="B29" s="2" t="s">
        <v>113</v>
      </c>
      <c r="C29" s="2" t="s">
        <v>135</v>
      </c>
      <c r="D29" s="2" t="s">
        <v>141</v>
      </c>
      <c r="E29" s="2" t="s">
        <v>126</v>
      </c>
      <c r="F29" s="2" t="s">
        <v>141</v>
      </c>
      <c r="G29" s="2" t="s">
        <v>142</v>
      </c>
      <c r="H29" s="20" t="s">
        <v>46</v>
      </c>
      <c r="I29" s="2" t="s">
        <v>143</v>
      </c>
      <c r="J29" s="2" t="s">
        <v>43</v>
      </c>
      <c r="K29" s="2"/>
    </row>
    <row r="30" spans="1:11" ht="218.6" x14ac:dyDescent="0.4">
      <c r="A30" s="17">
        <f t="shared" si="0"/>
        <v>27</v>
      </c>
      <c r="B30" s="2" t="s">
        <v>114</v>
      </c>
      <c r="C30" s="2" t="s">
        <v>135</v>
      </c>
      <c r="D30" s="2" t="s">
        <v>144</v>
      </c>
      <c r="E30" s="2" t="s">
        <v>145</v>
      </c>
      <c r="F30" s="2" t="s">
        <v>146</v>
      </c>
      <c r="G30" s="2" t="s">
        <v>147</v>
      </c>
      <c r="H30" s="20" t="s">
        <v>46</v>
      </c>
      <c r="I30" s="2" t="s">
        <v>148</v>
      </c>
      <c r="J30" s="2" t="s">
        <v>43</v>
      </c>
      <c r="K30" s="2"/>
    </row>
    <row r="31" spans="1:11" ht="72.900000000000006" x14ac:dyDescent="0.4">
      <c r="A31" s="17">
        <f t="shared" si="0"/>
        <v>28</v>
      </c>
      <c r="B31" s="2" t="s">
        <v>115</v>
      </c>
      <c r="C31" s="2" t="s">
        <v>135</v>
      </c>
      <c r="D31" s="2"/>
      <c r="E31" s="2" t="s">
        <v>149</v>
      </c>
      <c r="F31" s="2" t="s">
        <v>151</v>
      </c>
      <c r="G31" s="2" t="s">
        <v>157</v>
      </c>
      <c r="H31" s="20" t="s">
        <v>46</v>
      </c>
      <c r="I31" s="2" t="s">
        <v>156</v>
      </c>
      <c r="J31" s="2" t="s">
        <v>43</v>
      </c>
      <c r="K31" s="2"/>
    </row>
    <row r="32" spans="1:11" ht="43.75" x14ac:dyDescent="0.4">
      <c r="A32" s="17">
        <f t="shared" si="0"/>
        <v>29</v>
      </c>
      <c r="B32" s="2" t="s">
        <v>116</v>
      </c>
      <c r="C32" s="2" t="s">
        <v>135</v>
      </c>
      <c r="D32" s="2"/>
      <c r="E32" s="2" t="s">
        <v>149</v>
      </c>
      <c r="F32" s="2" t="s">
        <v>151</v>
      </c>
      <c r="G32" s="2" t="s">
        <v>116</v>
      </c>
      <c r="H32" s="20" t="s">
        <v>46</v>
      </c>
      <c r="I32" s="2" t="s">
        <v>150</v>
      </c>
      <c r="J32" s="2" t="s">
        <v>43</v>
      </c>
      <c r="K32" s="2"/>
    </row>
    <row r="33" spans="1:11" ht="145.75" x14ac:dyDescent="0.4">
      <c r="A33" s="17">
        <f t="shared" si="0"/>
        <v>30</v>
      </c>
      <c r="B33" s="2" t="s">
        <v>117</v>
      </c>
      <c r="C33" s="2" t="s">
        <v>135</v>
      </c>
      <c r="D33" s="2"/>
      <c r="E33" s="2" t="s">
        <v>149</v>
      </c>
      <c r="F33" s="2" t="s">
        <v>152</v>
      </c>
      <c r="G33" s="2" t="s">
        <v>158</v>
      </c>
      <c r="H33" s="20" t="s">
        <v>46</v>
      </c>
      <c r="I33" s="2" t="s">
        <v>159</v>
      </c>
      <c r="J33" s="2" t="s">
        <v>44</v>
      </c>
      <c r="K33" s="2" t="s">
        <v>45</v>
      </c>
    </row>
    <row r="34" spans="1:11" ht="43.75" x14ac:dyDescent="0.4">
      <c r="A34" s="17">
        <f t="shared" si="0"/>
        <v>31</v>
      </c>
      <c r="B34" s="2" t="s">
        <v>118</v>
      </c>
      <c r="C34" s="2" t="s">
        <v>135</v>
      </c>
      <c r="D34" s="2"/>
      <c r="E34" s="2" t="s">
        <v>149</v>
      </c>
      <c r="F34" s="2" t="s">
        <v>151</v>
      </c>
      <c r="G34" s="2" t="s">
        <v>118</v>
      </c>
      <c r="H34" s="20" t="s">
        <v>46</v>
      </c>
      <c r="I34" s="2" t="s">
        <v>160</v>
      </c>
      <c r="J34" s="2" t="s">
        <v>43</v>
      </c>
      <c r="K34" s="2"/>
    </row>
    <row r="35" spans="1:11" ht="43.75" x14ac:dyDescent="0.4">
      <c r="A35" s="17">
        <f t="shared" si="0"/>
        <v>32</v>
      </c>
      <c r="B35" s="2" t="s">
        <v>119</v>
      </c>
      <c r="C35" s="2" t="s">
        <v>135</v>
      </c>
      <c r="D35" s="2"/>
      <c r="E35" s="2" t="s">
        <v>149</v>
      </c>
      <c r="F35" s="2" t="s">
        <v>151</v>
      </c>
      <c r="G35" s="2" t="s">
        <v>119</v>
      </c>
      <c r="H35" s="20" t="s">
        <v>46</v>
      </c>
      <c r="I35" s="2" t="s">
        <v>155</v>
      </c>
      <c r="J35" s="2" t="s">
        <v>43</v>
      </c>
      <c r="K35" s="2"/>
    </row>
    <row r="36" spans="1:11" ht="43.75" x14ac:dyDescent="0.4">
      <c r="A36" s="17">
        <f t="shared" si="0"/>
        <v>33</v>
      </c>
      <c r="B36" s="2" t="s">
        <v>120</v>
      </c>
      <c r="C36" s="2" t="s">
        <v>135</v>
      </c>
      <c r="D36" s="2"/>
      <c r="E36" s="2" t="s">
        <v>149</v>
      </c>
      <c r="F36" s="2" t="s">
        <v>151</v>
      </c>
      <c r="G36" s="2" t="s">
        <v>120</v>
      </c>
      <c r="H36" s="20" t="s">
        <v>46</v>
      </c>
      <c r="I36" s="2" t="s">
        <v>154</v>
      </c>
      <c r="J36" s="2" t="s">
        <v>43</v>
      </c>
      <c r="K36" s="2"/>
    </row>
    <row r="37" spans="1:11" ht="145.75" x14ac:dyDescent="0.4">
      <c r="A37" s="17">
        <f t="shared" si="0"/>
        <v>34</v>
      </c>
      <c r="B37" s="2" t="s">
        <v>121</v>
      </c>
      <c r="C37" s="2" t="s">
        <v>135</v>
      </c>
      <c r="D37" s="2"/>
      <c r="E37" s="2" t="s">
        <v>149</v>
      </c>
      <c r="F37" s="2" t="s">
        <v>152</v>
      </c>
      <c r="G37" s="2" t="s">
        <v>153</v>
      </c>
      <c r="H37" s="20" t="s">
        <v>46</v>
      </c>
      <c r="I37" s="2" t="s">
        <v>159</v>
      </c>
      <c r="J37" s="2" t="s">
        <v>44</v>
      </c>
      <c r="K37" s="2" t="s">
        <v>45</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B3A2-3F3B-40E8-964B-9CDD8DCD248B}">
  <dimension ref="A1:P29"/>
  <sheetViews>
    <sheetView workbookViewId="0">
      <selection activeCell="A5" sqref="A5:XFD25"/>
    </sheetView>
  </sheetViews>
  <sheetFormatPr defaultRowHeight="14.6" x14ac:dyDescent="0.4"/>
  <cols>
    <col min="1" max="1" width="14.3828125" customWidth="1"/>
    <col min="2" max="2" width="44.53515625" customWidth="1"/>
    <col min="3" max="3" width="19.921875" customWidth="1"/>
    <col min="4" max="4" width="19.3046875" customWidth="1"/>
    <col min="5" max="5" width="21.15234375" customWidth="1"/>
    <col min="6" max="6" width="29.07421875" customWidth="1"/>
    <col min="7" max="7" width="21.84375" customWidth="1"/>
    <col min="8" max="8" width="15.53515625" customWidth="1"/>
    <col min="9" max="9" width="58.84375" customWidth="1"/>
    <col min="10" max="10" width="22.53515625" customWidth="1"/>
    <col min="11" max="11" width="16" customWidth="1"/>
  </cols>
  <sheetData>
    <row r="1" spans="1:16" ht="15" thickBot="1" x14ac:dyDescent="0.45">
      <c r="A1" s="9" t="s">
        <v>0</v>
      </c>
      <c r="B1" s="10" t="s">
        <v>1</v>
      </c>
      <c r="C1" s="10" t="s">
        <v>4</v>
      </c>
      <c r="D1" s="10" t="s">
        <v>7</v>
      </c>
      <c r="E1" s="10" t="s">
        <v>9</v>
      </c>
      <c r="F1" s="10" t="s">
        <v>12</v>
      </c>
      <c r="G1" s="10" t="s">
        <v>15</v>
      </c>
      <c r="H1" s="10" t="s">
        <v>18</v>
      </c>
      <c r="I1" s="10" t="s">
        <v>18</v>
      </c>
      <c r="J1" s="10" t="s">
        <v>21</v>
      </c>
      <c r="K1" s="11" t="s">
        <v>24</v>
      </c>
    </row>
    <row r="2" spans="1:16" s="1" customFormat="1" ht="87.45" x14ac:dyDescent="0.4">
      <c r="A2" s="6"/>
      <c r="B2" s="7" t="s">
        <v>2</v>
      </c>
      <c r="C2" s="7" t="s">
        <v>5</v>
      </c>
      <c r="D2" s="7" t="s">
        <v>8</v>
      </c>
      <c r="E2" s="7" t="s">
        <v>10</v>
      </c>
      <c r="F2" s="7" t="s">
        <v>13</v>
      </c>
      <c r="G2" s="7" t="s">
        <v>16</v>
      </c>
      <c r="H2" s="7" t="s">
        <v>19</v>
      </c>
      <c r="I2" s="7" t="s">
        <v>20</v>
      </c>
      <c r="J2" s="7" t="s">
        <v>22</v>
      </c>
      <c r="K2" s="8" t="s">
        <v>25</v>
      </c>
    </row>
    <row r="3" spans="1:16" s="1" customFormat="1" ht="73.3" thickBot="1" x14ac:dyDescent="0.45">
      <c r="A3" s="12"/>
      <c r="B3" s="13" t="s">
        <v>3</v>
      </c>
      <c r="C3" s="13" t="s">
        <v>6</v>
      </c>
      <c r="D3" s="13"/>
      <c r="E3" s="13" t="s">
        <v>11</v>
      </c>
      <c r="F3" s="13" t="s">
        <v>14</v>
      </c>
      <c r="G3" s="13" t="s">
        <v>17</v>
      </c>
      <c r="H3" s="13"/>
      <c r="I3" s="13"/>
      <c r="J3" s="13" t="s">
        <v>23</v>
      </c>
      <c r="K3" s="14"/>
    </row>
    <row r="4" spans="1:16" ht="15" thickTop="1" x14ac:dyDescent="0.4">
      <c r="A4" s="5">
        <v>1</v>
      </c>
      <c r="B4" s="2" t="s">
        <v>167</v>
      </c>
      <c r="C4" s="4"/>
      <c r="D4" s="4"/>
      <c r="E4" s="4"/>
      <c r="F4" s="4"/>
      <c r="G4" s="4"/>
      <c r="H4" s="4"/>
      <c r="I4" s="4"/>
      <c r="J4" s="1"/>
      <c r="K4" s="1"/>
      <c r="L4" s="1"/>
      <c r="M4" s="1"/>
      <c r="N4" s="1"/>
      <c r="O4" s="1"/>
      <c r="P4" s="1"/>
    </row>
    <row r="5" spans="1:16" x14ac:dyDescent="0.4">
      <c r="A5" s="17">
        <f>A4+1</f>
        <v>2</v>
      </c>
      <c r="B5" s="2" t="s">
        <v>168</v>
      </c>
      <c r="C5" s="2"/>
      <c r="D5" s="2"/>
      <c r="E5" s="2"/>
      <c r="F5" s="2"/>
      <c r="G5" s="2"/>
      <c r="H5" s="20"/>
      <c r="I5" s="2"/>
      <c r="J5" s="2"/>
      <c r="K5" s="18"/>
      <c r="L5" s="1"/>
      <c r="M5" s="1"/>
      <c r="N5" s="1"/>
      <c r="O5" s="1"/>
      <c r="P5" s="1"/>
    </row>
    <row r="6" spans="1:16" ht="29.15" x14ac:dyDescent="0.4">
      <c r="A6" s="17">
        <f t="shared" ref="A6:A23" si="0">A5+1</f>
        <v>3</v>
      </c>
      <c r="B6" s="2" t="s">
        <v>169</v>
      </c>
      <c r="C6" s="2"/>
      <c r="D6" s="2"/>
      <c r="E6" s="2"/>
      <c r="F6" s="2"/>
      <c r="G6" s="2"/>
      <c r="H6" s="20"/>
      <c r="I6" s="2"/>
      <c r="J6" s="2"/>
      <c r="K6" s="2"/>
      <c r="L6" s="1"/>
      <c r="M6" s="1"/>
      <c r="N6" s="1"/>
      <c r="O6" s="1"/>
      <c r="P6" s="1"/>
    </row>
    <row r="7" spans="1:16" ht="42.9" customHeight="1" x14ac:dyDescent="0.4">
      <c r="A7" s="17">
        <f t="shared" si="0"/>
        <v>4</v>
      </c>
      <c r="B7" s="2" t="s">
        <v>170</v>
      </c>
      <c r="C7" s="2"/>
      <c r="D7" s="2"/>
      <c r="E7" s="2"/>
      <c r="F7" s="2"/>
      <c r="G7" s="2"/>
      <c r="H7" s="20"/>
      <c r="I7" s="2"/>
      <c r="J7" s="2"/>
      <c r="K7" s="2"/>
    </row>
    <row r="8" spans="1:16" ht="181.3" customHeight="1" x14ac:dyDescent="0.4">
      <c r="A8" s="17">
        <f t="shared" si="0"/>
        <v>5</v>
      </c>
      <c r="B8" s="2" t="s">
        <v>171</v>
      </c>
      <c r="C8" s="2"/>
      <c r="D8" s="2"/>
      <c r="E8" s="2"/>
      <c r="F8" s="2"/>
      <c r="G8" s="2"/>
      <c r="H8" s="20"/>
      <c r="I8" s="2"/>
      <c r="J8" s="2"/>
      <c r="K8" s="2"/>
    </row>
    <row r="9" spans="1:16" ht="63.45" customHeight="1" x14ac:dyDescent="0.4">
      <c r="A9" s="17">
        <f t="shared" si="0"/>
        <v>6</v>
      </c>
      <c r="B9" s="2" t="s">
        <v>172</v>
      </c>
      <c r="C9" s="2"/>
      <c r="D9" s="2"/>
      <c r="E9" s="2"/>
      <c r="F9" s="2"/>
      <c r="G9" s="2"/>
      <c r="H9" s="20"/>
      <c r="I9" s="2"/>
      <c r="J9" s="2"/>
      <c r="K9" s="2"/>
    </row>
    <row r="10" spans="1:16" x14ac:dyDescent="0.4">
      <c r="A10" s="17">
        <f t="shared" si="0"/>
        <v>7</v>
      </c>
      <c r="B10" s="2" t="s">
        <v>173</v>
      </c>
      <c r="C10" s="2"/>
      <c r="D10" s="2"/>
      <c r="E10" s="2"/>
      <c r="F10" s="2"/>
      <c r="G10" s="2"/>
      <c r="H10" s="20"/>
      <c r="I10" s="2"/>
      <c r="J10" s="2"/>
      <c r="K10" s="2"/>
    </row>
    <row r="11" spans="1:16" ht="29.15" x14ac:dyDescent="0.4">
      <c r="A11" s="17">
        <f t="shared" si="0"/>
        <v>8</v>
      </c>
      <c r="B11" s="2" t="s">
        <v>174</v>
      </c>
      <c r="C11" s="2"/>
      <c r="D11" s="2"/>
      <c r="E11" s="2"/>
      <c r="F11" s="2"/>
      <c r="G11" s="2"/>
      <c r="H11" s="20"/>
      <c r="I11" s="2"/>
      <c r="J11" s="2"/>
      <c r="K11" s="2"/>
    </row>
    <row r="12" spans="1:16" x14ac:dyDescent="0.4">
      <c r="A12" s="17">
        <f t="shared" si="0"/>
        <v>9</v>
      </c>
      <c r="B12" s="2" t="s">
        <v>175</v>
      </c>
      <c r="C12" s="2"/>
      <c r="D12" s="2"/>
      <c r="E12" s="2"/>
      <c r="F12" s="2"/>
      <c r="G12" s="2"/>
      <c r="H12" s="20"/>
      <c r="I12" s="2"/>
      <c r="J12" s="2"/>
      <c r="K12" s="2"/>
    </row>
    <row r="13" spans="1:16" x14ac:dyDescent="0.4">
      <c r="A13" s="17">
        <f t="shared" si="0"/>
        <v>10</v>
      </c>
      <c r="B13" s="2" t="s">
        <v>176</v>
      </c>
      <c r="C13" s="2"/>
      <c r="D13" s="2"/>
      <c r="E13" s="2"/>
      <c r="F13" s="2"/>
      <c r="G13" s="2"/>
      <c r="H13" s="20"/>
      <c r="I13" s="2"/>
      <c r="J13" s="2"/>
      <c r="K13" s="18"/>
      <c r="L13" s="1"/>
      <c r="M13" s="1"/>
      <c r="N13" s="1"/>
      <c r="O13" s="1"/>
      <c r="P13" s="1"/>
    </row>
    <row r="14" spans="1:16" ht="29.15" x14ac:dyDescent="0.4">
      <c r="A14" s="17">
        <f t="shared" si="0"/>
        <v>11</v>
      </c>
      <c r="B14" s="2" t="s">
        <v>177</v>
      </c>
      <c r="C14" s="2"/>
      <c r="D14" s="2"/>
      <c r="E14" s="2"/>
      <c r="F14" s="2"/>
      <c r="G14" s="2"/>
      <c r="H14" s="20"/>
      <c r="I14" s="2"/>
      <c r="J14" s="2"/>
      <c r="K14" s="2"/>
      <c r="L14" s="1"/>
      <c r="M14" s="1"/>
      <c r="N14" s="1"/>
      <c r="O14" s="1"/>
      <c r="P14" s="1"/>
    </row>
    <row r="15" spans="1:16" ht="42.9" customHeight="1" x14ac:dyDescent="0.4">
      <c r="A15" s="17">
        <f t="shared" si="0"/>
        <v>12</v>
      </c>
      <c r="B15" s="2" t="s">
        <v>178</v>
      </c>
      <c r="C15" s="2"/>
      <c r="D15" s="2"/>
      <c r="E15" s="2"/>
      <c r="F15" s="2"/>
      <c r="G15" s="2"/>
      <c r="H15" s="20"/>
      <c r="I15" s="2"/>
      <c r="J15" s="2"/>
      <c r="K15" s="2"/>
    </row>
    <row r="16" spans="1:16" ht="181.3" customHeight="1" x14ac:dyDescent="0.4">
      <c r="A16" s="17">
        <f t="shared" si="0"/>
        <v>13</v>
      </c>
      <c r="B16" s="2"/>
      <c r="C16" s="2"/>
      <c r="D16" s="2"/>
      <c r="E16" s="2"/>
      <c r="F16" s="2"/>
      <c r="G16" s="2"/>
      <c r="H16" s="20"/>
      <c r="I16" s="2"/>
      <c r="J16" s="2"/>
      <c r="K16" s="2"/>
    </row>
    <row r="17" spans="1:16" ht="63.45" customHeight="1" x14ac:dyDescent="0.4">
      <c r="A17" s="17">
        <f t="shared" si="0"/>
        <v>14</v>
      </c>
      <c r="B17" s="2"/>
      <c r="C17" s="2"/>
      <c r="D17" s="2"/>
      <c r="E17" s="2"/>
      <c r="F17" s="2"/>
      <c r="G17" s="2"/>
      <c r="H17" s="20"/>
      <c r="I17" s="2"/>
      <c r="J17" s="2"/>
      <c r="K17" s="2"/>
    </row>
    <row r="18" spans="1:16" x14ac:dyDescent="0.4">
      <c r="A18" s="17">
        <f t="shared" si="0"/>
        <v>15</v>
      </c>
      <c r="B18" s="2"/>
      <c r="C18" s="2"/>
      <c r="D18" s="2"/>
      <c r="E18" s="2"/>
      <c r="F18" s="2"/>
      <c r="G18" s="2"/>
      <c r="H18" s="20"/>
      <c r="I18" s="2"/>
      <c r="J18" s="2"/>
      <c r="K18" s="2"/>
    </row>
    <row r="19" spans="1:16" x14ac:dyDescent="0.4">
      <c r="A19" s="17">
        <f t="shared" si="0"/>
        <v>16</v>
      </c>
      <c r="B19" s="2"/>
      <c r="C19" s="2"/>
      <c r="D19" s="2"/>
      <c r="E19" s="2"/>
      <c r="F19" s="2"/>
      <c r="G19" s="2"/>
      <c r="H19" s="20"/>
      <c r="I19" s="2"/>
      <c r="J19" s="2"/>
      <c r="K19" s="2"/>
    </row>
    <row r="20" spans="1:16" x14ac:dyDescent="0.4">
      <c r="A20" s="17">
        <f t="shared" si="0"/>
        <v>17</v>
      </c>
      <c r="B20" s="2"/>
      <c r="C20" s="2"/>
      <c r="D20" s="2"/>
      <c r="E20" s="2"/>
      <c r="F20" s="2"/>
      <c r="G20" s="2"/>
      <c r="H20" s="20"/>
      <c r="I20" s="2"/>
      <c r="J20" s="2"/>
      <c r="K20" s="2"/>
    </row>
    <row r="21" spans="1:16" x14ac:dyDescent="0.4">
      <c r="A21" s="17">
        <f t="shared" si="0"/>
        <v>18</v>
      </c>
      <c r="B21" s="2"/>
      <c r="C21" s="2"/>
      <c r="D21" s="2"/>
      <c r="E21" s="2"/>
      <c r="F21" s="2"/>
      <c r="G21" s="2"/>
      <c r="H21" s="20"/>
      <c r="I21" s="2"/>
      <c r="J21" s="2"/>
      <c r="K21" s="18"/>
      <c r="L21" s="1"/>
      <c r="M21" s="1"/>
      <c r="N21" s="1"/>
      <c r="O21" s="1"/>
      <c r="P21" s="1"/>
    </row>
    <row r="22" spans="1:16" x14ac:dyDescent="0.4">
      <c r="A22" s="17">
        <f t="shared" si="0"/>
        <v>19</v>
      </c>
      <c r="B22" s="2"/>
      <c r="C22" s="2"/>
      <c r="D22" s="2"/>
      <c r="E22" s="2"/>
      <c r="F22" s="2"/>
      <c r="G22" s="2"/>
      <c r="H22" s="20"/>
      <c r="I22" s="2"/>
      <c r="J22" s="2"/>
      <c r="K22" s="2"/>
      <c r="L22" s="1"/>
      <c r="M22" s="1"/>
      <c r="N22" s="1"/>
      <c r="O22" s="1"/>
      <c r="P22" s="1"/>
    </row>
    <row r="23" spans="1:16" ht="42.9" customHeight="1" x14ac:dyDescent="0.4">
      <c r="A23" s="17">
        <f t="shared" si="0"/>
        <v>20</v>
      </c>
      <c r="B23" s="2"/>
      <c r="C23" s="2"/>
      <c r="D23" s="2"/>
      <c r="E23" s="2"/>
      <c r="F23" s="2"/>
      <c r="G23" s="2"/>
      <c r="H23" s="20"/>
      <c r="I23" s="2"/>
      <c r="J23" s="2"/>
      <c r="K23" s="2"/>
    </row>
    <row r="24" spans="1:16" ht="181.3" customHeight="1" x14ac:dyDescent="0.4">
      <c r="A24" s="17"/>
      <c r="B24" s="2"/>
      <c r="C24" s="2"/>
      <c r="D24" s="2"/>
      <c r="E24" s="2"/>
      <c r="F24" s="2"/>
      <c r="G24" s="2"/>
      <c r="H24" s="20"/>
      <c r="I24" s="2"/>
      <c r="J24" s="2"/>
      <c r="K24" s="2"/>
    </row>
    <row r="25" spans="1:16" ht="63.45" customHeight="1" x14ac:dyDescent="0.4">
      <c r="A25" s="17"/>
      <c r="B25" s="2"/>
      <c r="C25" s="2"/>
      <c r="D25" s="2"/>
      <c r="E25" s="2"/>
      <c r="F25" s="2"/>
      <c r="G25" s="2"/>
      <c r="H25" s="20"/>
      <c r="I25" s="2"/>
      <c r="J25" s="2"/>
      <c r="K25" s="2"/>
    </row>
    <row r="26" spans="1:16" x14ac:dyDescent="0.4">
      <c r="A26" s="5"/>
    </row>
    <row r="27" spans="1:16" x14ac:dyDescent="0.4">
      <c r="A27" s="5"/>
    </row>
    <row r="28" spans="1:16" x14ac:dyDescent="0.4">
      <c r="A28" s="5"/>
    </row>
    <row r="29" spans="1:16" x14ac:dyDescent="0.4">
      <c r="A29" s="5"/>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87974-BE6C-42A9-B767-9B7C466934A0}">
  <dimension ref="A1:P9"/>
  <sheetViews>
    <sheetView tabSelected="1" workbookViewId="0">
      <pane ySplit="3" topLeftCell="A7" activePane="bottomLeft" state="frozen"/>
      <selection pane="bottomLeft" activeCell="D25" sqref="D25"/>
    </sheetView>
  </sheetViews>
  <sheetFormatPr defaultRowHeight="14.6" x14ac:dyDescent="0.4"/>
  <cols>
    <col min="1" max="1" width="14.3828125" customWidth="1"/>
    <col min="2" max="2" width="44.53515625" customWidth="1"/>
    <col min="3" max="3" width="19.921875" customWidth="1"/>
    <col min="4" max="4" width="19.3046875" customWidth="1"/>
    <col min="5" max="5" width="21.15234375" customWidth="1"/>
    <col min="6" max="6" width="29.07421875" customWidth="1"/>
    <col min="7" max="7" width="21.84375" customWidth="1"/>
    <col min="8" max="8" width="15.53515625" customWidth="1"/>
    <col min="9" max="9" width="58.84375" customWidth="1"/>
    <col min="10" max="10" width="22.53515625" customWidth="1"/>
    <col min="11" max="11" width="16" customWidth="1"/>
  </cols>
  <sheetData>
    <row r="1" spans="1:16" ht="15" thickBot="1" x14ac:dyDescent="0.45">
      <c r="A1" s="9" t="s">
        <v>0</v>
      </c>
      <c r="B1" s="10" t="s">
        <v>1</v>
      </c>
      <c r="C1" s="10" t="s">
        <v>4</v>
      </c>
      <c r="D1" s="10" t="s">
        <v>7</v>
      </c>
      <c r="E1" s="10" t="s">
        <v>9</v>
      </c>
      <c r="F1" s="10" t="s">
        <v>12</v>
      </c>
      <c r="G1" s="10" t="s">
        <v>15</v>
      </c>
      <c r="H1" s="10" t="s">
        <v>18</v>
      </c>
      <c r="I1" s="10" t="s">
        <v>18</v>
      </c>
      <c r="J1" s="10" t="s">
        <v>21</v>
      </c>
      <c r="K1" s="11" t="s">
        <v>24</v>
      </c>
    </row>
    <row r="2" spans="1:16" s="1" customFormat="1" ht="87.45" hidden="1" x14ac:dyDescent="0.4">
      <c r="A2" s="6"/>
      <c r="B2" s="7" t="s">
        <v>2</v>
      </c>
      <c r="C2" s="7" t="s">
        <v>5</v>
      </c>
      <c r="D2" s="7" t="s">
        <v>8</v>
      </c>
      <c r="E2" s="7" t="s">
        <v>10</v>
      </c>
      <c r="F2" s="7" t="s">
        <v>13</v>
      </c>
      <c r="G2" s="7" t="s">
        <v>16</v>
      </c>
      <c r="H2" s="7" t="s">
        <v>19</v>
      </c>
      <c r="I2" s="7" t="s">
        <v>20</v>
      </c>
      <c r="J2" s="7" t="s">
        <v>22</v>
      </c>
      <c r="K2" s="8" t="s">
        <v>25</v>
      </c>
    </row>
    <row r="3" spans="1:16" s="1" customFormat="1" ht="73.3" hidden="1" thickBot="1" x14ac:dyDescent="0.45">
      <c r="A3" s="12"/>
      <c r="B3" s="13" t="s">
        <v>3</v>
      </c>
      <c r="C3" s="13" t="s">
        <v>6</v>
      </c>
      <c r="D3" s="13"/>
      <c r="E3" s="13" t="s">
        <v>11</v>
      </c>
      <c r="F3" s="13" t="s">
        <v>14</v>
      </c>
      <c r="G3" s="13" t="s">
        <v>17</v>
      </c>
      <c r="H3" s="13"/>
      <c r="I3" s="13"/>
      <c r="J3" s="13" t="s">
        <v>23</v>
      </c>
      <c r="K3" s="14"/>
    </row>
    <row r="4" spans="1:16" ht="204" x14ac:dyDescent="0.4">
      <c r="A4" s="17">
        <v>1</v>
      </c>
      <c r="B4" s="2" t="s">
        <v>161</v>
      </c>
      <c r="C4" s="2" t="s">
        <v>135</v>
      </c>
      <c r="D4" s="2" t="s">
        <v>182</v>
      </c>
      <c r="E4" s="2" t="s">
        <v>179</v>
      </c>
      <c r="F4" s="2" t="s">
        <v>180</v>
      </c>
      <c r="G4" s="2" t="s">
        <v>181</v>
      </c>
      <c r="H4" s="20" t="s">
        <v>46</v>
      </c>
      <c r="I4" s="2" t="s">
        <v>183</v>
      </c>
      <c r="J4" s="2" t="s">
        <v>43</v>
      </c>
      <c r="K4" s="2"/>
      <c r="L4" s="1"/>
      <c r="M4" s="1"/>
      <c r="N4" s="1"/>
      <c r="O4" s="1"/>
      <c r="P4" s="1"/>
    </row>
    <row r="5" spans="1:16" ht="181.3" customHeight="1" x14ac:dyDescent="0.4">
      <c r="A5" s="17">
        <f>A4+1</f>
        <v>2</v>
      </c>
      <c r="B5" s="2" t="s">
        <v>162</v>
      </c>
      <c r="C5" s="2" t="s">
        <v>135</v>
      </c>
      <c r="D5" s="2" t="s">
        <v>182</v>
      </c>
      <c r="E5" s="2" t="s">
        <v>179</v>
      </c>
      <c r="F5" s="2" t="s">
        <v>180</v>
      </c>
      <c r="G5" s="2" t="s">
        <v>181</v>
      </c>
      <c r="H5" s="20" t="s">
        <v>46</v>
      </c>
      <c r="I5" s="2" t="s">
        <v>184</v>
      </c>
      <c r="J5" s="2" t="s">
        <v>185</v>
      </c>
      <c r="K5" s="2" t="s">
        <v>45</v>
      </c>
    </row>
    <row r="6" spans="1:16" ht="102" x14ac:dyDescent="0.4">
      <c r="A6" s="17">
        <f t="shared" ref="A6:A9" si="0">A5+1</f>
        <v>3</v>
      </c>
      <c r="B6" s="2" t="s">
        <v>163</v>
      </c>
      <c r="C6" s="2" t="s">
        <v>135</v>
      </c>
      <c r="D6" s="2" t="s">
        <v>186</v>
      </c>
      <c r="E6" s="2" t="s">
        <v>179</v>
      </c>
      <c r="F6" s="2" t="s">
        <v>180</v>
      </c>
      <c r="G6" s="2" t="s">
        <v>187</v>
      </c>
      <c r="H6" s="20" t="s">
        <v>46</v>
      </c>
      <c r="I6" s="2" t="s">
        <v>193</v>
      </c>
      <c r="J6" s="2" t="s">
        <v>43</v>
      </c>
      <c r="K6" s="2"/>
    </row>
    <row r="7" spans="1:16" ht="116.6" x14ac:dyDescent="0.4">
      <c r="A7" s="17">
        <f t="shared" si="0"/>
        <v>4</v>
      </c>
      <c r="B7" s="2" t="s">
        <v>164</v>
      </c>
      <c r="C7" s="2" t="s">
        <v>135</v>
      </c>
      <c r="D7" s="2" t="s">
        <v>190</v>
      </c>
      <c r="E7" s="2" t="s">
        <v>179</v>
      </c>
      <c r="F7" s="2" t="s">
        <v>188</v>
      </c>
      <c r="G7" s="2" t="s">
        <v>189</v>
      </c>
      <c r="H7" s="20" t="s">
        <v>46</v>
      </c>
      <c r="I7" s="2" t="s">
        <v>192</v>
      </c>
      <c r="J7" s="2" t="s">
        <v>185</v>
      </c>
      <c r="K7" s="2" t="s">
        <v>45</v>
      </c>
    </row>
    <row r="8" spans="1:16" ht="174.9" x14ac:dyDescent="0.4">
      <c r="A8" s="17">
        <f t="shared" si="0"/>
        <v>5</v>
      </c>
      <c r="B8" s="2" t="s">
        <v>165</v>
      </c>
      <c r="C8" s="2" t="s">
        <v>135</v>
      </c>
      <c r="D8" s="2" t="s">
        <v>190</v>
      </c>
      <c r="E8" s="2" t="s">
        <v>191</v>
      </c>
      <c r="F8" s="2" t="s">
        <v>194</v>
      </c>
      <c r="G8" s="2" t="s">
        <v>195</v>
      </c>
      <c r="H8" s="20" t="s">
        <v>46</v>
      </c>
      <c r="I8" s="2" t="s">
        <v>196</v>
      </c>
      <c r="J8" s="2" t="s">
        <v>43</v>
      </c>
      <c r="K8" s="2"/>
    </row>
    <row r="9" spans="1:16" ht="43.75" x14ac:dyDescent="0.4">
      <c r="A9" s="17">
        <f t="shared" si="0"/>
        <v>6</v>
      </c>
      <c r="B9" s="2" t="s">
        <v>166</v>
      </c>
      <c r="C9" s="2"/>
      <c r="D9" s="2"/>
      <c r="E9" s="2"/>
      <c r="F9" s="2"/>
      <c r="G9" s="2"/>
      <c r="H9" s="20"/>
      <c r="I9" s="2"/>
      <c r="J9" s="2"/>
      <c r="K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E249-FA46-4B7A-B166-27F82EBD8754}">
  <dimension ref="A1"/>
  <sheetViews>
    <sheetView workbookViewId="0"/>
  </sheetViews>
  <sheetFormatPr defaultRowHeight="14.6" x14ac:dyDescent="0.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C6C1-9D13-43EB-9B3D-77B238719C4F}">
  <dimension ref="A1"/>
  <sheetViews>
    <sheetView workbookViewId="0"/>
  </sheetViews>
  <sheetFormatPr defaultRowHeight="14.6" x14ac:dyDescent="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2D7C-D477-4C14-B183-1BD8B8125839}">
  <dimension ref="A1"/>
  <sheetViews>
    <sheetView workbookViewId="0"/>
  </sheetViews>
  <sheetFormatPr defaultRowHeight="14.6" x14ac:dyDescent="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ACED-2C2D-4210-BF86-1DD9361B1F08}">
  <dimension ref="A1"/>
  <sheetViews>
    <sheetView workbookViewId="0"/>
  </sheetViews>
  <sheetFormatPr defaultRowHeight="14.6" x14ac:dyDescent="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63A6-1ECE-4B4D-ABE3-9F47EB369B03}">
  <dimension ref="A1"/>
  <sheetViews>
    <sheetView workbookViewId="0"/>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Авторизация и регистрация</vt:lpstr>
      <vt:lpstr>Чаты и сообщения</vt:lpstr>
      <vt:lpstr>Контакты и сообщества</vt:lpstr>
      <vt:lpstr>AI-ассистент и ML</vt:lpstr>
      <vt:lpstr>Админ-панель</vt:lpstr>
      <vt:lpstr>Интеграция frontend-backend</vt:lpstr>
      <vt:lpstr>UI UX и адаптивность</vt:lpstr>
      <vt:lpstr>Нефункциональные проверки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Владимир</dc:creator>
  <cp:lastModifiedBy>Владимир</cp:lastModifiedBy>
  <dcterms:created xsi:type="dcterms:W3CDTF">2026-05-31T08:43:05Z</dcterms:created>
  <dcterms:modified xsi:type="dcterms:W3CDTF">2026-06-02T14:01:11Z</dcterms:modified>
</cp:coreProperties>
</file>